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xr:revisionPtr revIDLastSave="0" documentId="13_ncr:1_{CBC08B00-E271-46FB-AFF1-68658CC31F2E}" xr6:coauthVersionLast="47" xr6:coauthVersionMax="47" xr10:uidLastSave="{00000000-0000-0000-0000-000000000000}"/>
  <bookViews>
    <workbookView xWindow="-120" yWindow="-120" windowWidth="20730" windowHeight="11160" activeTab="1" xr2:uid="{00000000-000D-0000-FFFF-FFFF00000000}"/>
  </bookViews>
  <sheets>
    <sheet name="Instrucciones" sheetId="12" r:id="rId1"/>
    <sheet name="Diagrama de Gantt" sheetId="11" r:id="rId2"/>
  </sheets>
  <definedNames>
    <definedName name="hoy" localSheetId="1">TODAY()</definedName>
    <definedName name="Inicio_del_proyecto">'Diagrama de Gantt'!$E$3</definedName>
    <definedName name="Semana_para_mostrar">'Diagrama de Gantt'!$E$4</definedName>
    <definedName name="task_end" localSheetId="1">'Diagrama de Gantt'!$F1</definedName>
    <definedName name="task_progress" localSheetId="1">'Diagrama de Gantt'!$D1</definedName>
    <definedName name="task_start" localSheetId="1">'Diagrama de Gantt'!$E1</definedName>
    <definedName name="_xlnm.Print_Titles" localSheetId="1">'Diagrama de Gantt'!$4:$6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1" l="1"/>
  <c r="E9" i="11" l="1"/>
  <c r="E28" i="11" s="1"/>
  <c r="F28" i="11" s="1"/>
  <c r="E29" i="11" s="1"/>
  <c r="F29" i="11" l="1"/>
  <c r="H29" i="11" s="1"/>
  <c r="E30" i="11"/>
  <c r="I5" i="11"/>
  <c r="H40" i="11"/>
  <c r="H39" i="11"/>
  <c r="H38" i="11"/>
  <c r="H37" i="11"/>
  <c r="H36" i="11"/>
  <c r="H35" i="11"/>
  <c r="H33" i="11"/>
  <c r="H28" i="11"/>
  <c r="H27" i="11"/>
  <c r="H19" i="11"/>
  <c r="H8" i="11"/>
  <c r="H9" i="11" l="1"/>
  <c r="F30" i="11"/>
  <c r="E32" i="11"/>
  <c r="E21" i="11"/>
  <c r="I6" i="11"/>
  <c r="H34" i="11" l="1"/>
  <c r="F32" i="11"/>
  <c r="H32" i="11" s="1"/>
  <c r="E31" i="11"/>
  <c r="H10" i="11"/>
  <c r="H20" i="11"/>
  <c r="H15" i="11"/>
  <c r="J5" i="11"/>
  <c r="K5" i="11" s="1"/>
  <c r="L5" i="11" s="1"/>
  <c r="M5" i="11" s="1"/>
  <c r="N5" i="11" s="1"/>
  <c r="O5" i="11" s="1"/>
  <c r="P5" i="11" s="1"/>
  <c r="I4" i="11"/>
  <c r="H30" i="11" l="1"/>
  <c r="F31" i="11"/>
  <c r="H31" i="11" s="1"/>
  <c r="H21" i="11"/>
  <c r="H11" i="11"/>
  <c r="H13" i="11"/>
  <c r="P4" i="11"/>
  <c r="Q5" i="11"/>
  <c r="R5" i="11" s="1"/>
  <c r="S5" i="11" s="1"/>
  <c r="T5" i="11" s="1"/>
  <c r="U5" i="11" s="1"/>
  <c r="V5" i="11" s="1"/>
  <c r="W5" i="11" s="1"/>
  <c r="J6" i="11"/>
  <c r="H25" i="11" l="1"/>
  <c r="H23" i="11"/>
  <c r="H22"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AZ5" i="11" l="1"/>
  <c r="AY4" i="11"/>
  <c r="S6" i="11" s="1"/>
  <c r="AX6" i="11"/>
  <c r="T6" i="11"/>
  <c r="AY6" i="11" l="1"/>
  <c r="BA5" i="11"/>
  <c r="AZ6" i="11"/>
  <c r="U6" i="11"/>
  <c r="BA6" i="11" l="1"/>
  <c r="BB5" i="11"/>
  <c r="V6" i="11"/>
  <c r="BB6" i="11" l="1"/>
  <c r="BC5" i="11"/>
  <c r="W6" i="11"/>
  <c r="BC6" i="11" l="1"/>
  <c r="BD5" i="11"/>
  <c r="X6" i="11"/>
  <c r="BE5" i="11" l="1"/>
  <c r="BD6" i="11"/>
  <c r="Y6" i="11"/>
  <c r="BE6" i="11" l="1"/>
  <c r="BF5" i="11"/>
  <c r="BF6" i="11" l="1"/>
  <c r="BG5" i="11"/>
  <c r="BF4" i="11"/>
  <c r="Z6" i="11" s="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<sst xmlns="http://schemas.openxmlformats.org/spreadsheetml/2006/main" count="88" uniqueCount="61">
  <si>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</si>
  <si>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</si>
  <si>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</si>
  <si>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</si>
  <si>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</si>
  <si>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</si>
  <si>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</si>
  <si>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</si>
  <si>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</si>
  <si>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</si>
  <si>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</si>
  <si>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</si>
  <si>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</si>
  <si>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</si>
  <si>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TAREA</t>
  </si>
  <si>
    <t>Tarea 1</t>
  </si>
  <si>
    <t>Tarea 2</t>
  </si>
  <si>
    <t>Tarea 3</t>
  </si>
  <si>
    <t>Tarea 4</t>
  </si>
  <si>
    <t>Tarea 5</t>
  </si>
  <si>
    <t>Título de la fase 3</t>
  </si>
  <si>
    <t>Título de la fase 4</t>
  </si>
  <si>
    <t>Inserte nuevas filas ENCIMA de ésta</t>
  </si>
  <si>
    <t>Inicio del proyecto:</t>
  </si>
  <si>
    <t>Semana para mostrar:</t>
  </si>
  <si>
    <t>ASIGNADO
A</t>
  </si>
  <si>
    <t>PROGRESO</t>
  </si>
  <si>
    <t>INICIO</t>
  </si>
  <si>
    <t>fecha</t>
  </si>
  <si>
    <t>FIN</t>
  </si>
  <si>
    <t>DÍAS</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</si>
  <si>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</si>
  <si>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</si>
  <si>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</si>
  <si>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 xml:space="preserve">Instrucciones </t>
  </si>
  <si>
    <t>Herramientas de desarrollo: gestor biblioteca</t>
  </si>
  <si>
    <t>grupo 4</t>
  </si>
  <si>
    <t>Avance de proyecto 1</t>
  </si>
  <si>
    <t xml:space="preserve">Repositorio y su estructura </t>
  </si>
  <si>
    <t>Proyecto Spring boot base</t>
  </si>
  <si>
    <t>Adriana Tapia</t>
  </si>
  <si>
    <t>Justificación del proyecto</t>
  </si>
  <si>
    <t>Objetivos del proyecto</t>
  </si>
  <si>
    <t>Gerardo Ramos</t>
  </si>
  <si>
    <t>Marco teórico</t>
  </si>
  <si>
    <t>Metodología</t>
  </si>
  <si>
    <t>Samir Rojas</t>
  </si>
  <si>
    <t>Sandro Salazar</t>
  </si>
  <si>
    <t>Documento y PPT</t>
  </si>
  <si>
    <t>README.md</t>
  </si>
  <si>
    <t>Carpeta resultados/capturas de pantalla</t>
  </si>
  <si>
    <t>Diagrama de BD en resultados/graficos</t>
  </si>
  <si>
    <t>Adriana Tapia - Gerardo Ramos</t>
  </si>
  <si>
    <t>Implementación de entidades</t>
  </si>
  <si>
    <t>Creación de repositorios</t>
  </si>
  <si>
    <t>Servicios y controllers</t>
  </si>
  <si>
    <t>Seguridad</t>
  </si>
  <si>
    <t>Documentación y PPT</t>
  </si>
  <si>
    <t>Recolección de evidencias</t>
  </si>
  <si>
    <t>Uso de herramienta de gestión</t>
  </si>
  <si>
    <t>Avance de proyecto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</si>
</sst>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70"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70" fontId="0" fillId="8" borderId="2" xfId="0" applyNumberFormat="1" applyFill="1" applyBorder="1" applyAlignment="1">
      <alignment horizontal="center" vertical="center"/>
    </xf>
    <xf numFmtId="170" fontId="5" fillId="8" borderId="2" xfId="0" applyNumberFormat="1" applyFont="1" applyFill="1" applyBorder="1" applyAlignment="1">
      <alignment horizontal="center" vertical="center"/>
    </xf>
    <xf numFmtId="170" fontId="0" fillId="9" borderId="2" xfId="0" applyNumberFormat="1" applyFill="1" applyBorder="1" applyAlignment="1">
      <alignment horizontal="center" vertical="center"/>
    </xf>
    <xf numFmtId="170" fontId="5" fillId="9" borderId="2" xfId="0" applyNumberFormat="1" applyFont="1" applyFill="1" applyBorder="1" applyAlignment="1">
      <alignment horizontal="center" vertical="center"/>
    </xf>
    <xf numFmtId="170" fontId="0" fillId="6" borderId="2" xfId="0" applyNumberFormat="1" applyFill="1" applyBorder="1" applyAlignment="1">
      <alignment horizontal="center" vertical="center"/>
    </xf>
    <xf numFmtId="170" fontId="5" fillId="6" borderId="2" xfId="0" applyNumberFormat="1" applyFont="1" applyFill="1" applyBorder="1" applyAlignment="1">
      <alignment horizontal="center" vertical="center"/>
    </xf>
    <xf numFmtId="170" fontId="9" fillId="11" borderId="2" xfId="10" applyFill="1">
      <alignment horizontal="center" vertical="center"/>
    </xf>
    <xf numFmtId="170" fontId="0" fillId="5" borderId="2" xfId="0" applyNumberFormat="1" applyFill="1" applyBorder="1" applyAlignment="1">
      <alignment horizontal="center" vertical="center"/>
    </xf>
    <xf numFmtId="170" fontId="5" fillId="5" borderId="2" xfId="0" applyNumberFormat="1" applyFont="1" applyFill="1" applyBorder="1" applyAlignment="1">
      <alignment horizontal="center" vertical="center"/>
    </xf>
    <xf numFmtId="170" fontId="4" fillId="2" borderId="2" xfId="0" applyNumberFormat="1" applyFont="1" applyFill="1" applyBorder="1" applyAlignment="1">
      <alignment horizontal="left" vertical="center"/>
    </xf>
    <xf numFmtId="170" fontId="5" fillId="2" borderId="2" xfId="0" applyNumberFormat="1" applyFont="1" applyFill="1" applyBorder="1" applyAlignment="1">
      <alignment horizontal="center" vertical="center"/>
    </xf>
    <xf numFmtId="171" fontId="11" fillId="7" borderId="6" xfId="0" applyNumberFormat="1" applyFont="1" applyFill="1" applyBorder="1" applyAlignment="1">
      <alignment horizontal="center" vertical="center"/>
    </xf>
    <xf numFmtId="171" fontId="11" fillId="7" borderId="0" xfId="0" applyNumberFormat="1" applyFont="1" applyFill="1" applyAlignment="1">
      <alignment horizontal="center" vertical="center"/>
    </xf>
    <xf numFmtId="171" fontId="11" fillId="7" borderId="7" xfId="0" applyNumberFormat="1" applyFont="1" applyFill="1" applyBorder="1" applyAlignment="1">
      <alignment horizontal="center" vertical="center"/>
    </xf>
    <xf numFmtId="170" fontId="9" fillId="3" borderId="2" xfId="10" applyFill="1">
      <alignment horizontal="center" vertical="center"/>
    </xf>
    <xf numFmtId="170" fontId="9" fillId="4" borderId="2" xfId="10" applyFill="1">
      <alignment horizontal="center" vertical="center"/>
    </xf>
    <xf numFmtId="170" fontId="9" fillId="10" borderId="2" xfId="10" applyFill="1">
      <alignment horizontal="center" vertical="center"/>
    </xf>
    <xf numFmtId="170" fontId="9" fillId="0" borderId="2" xfId="10">
      <alignment horizontal="center" vertical="center"/>
    </xf>
    <xf numFmtId="0" fontId="9" fillId="0" borderId="0" xfId="8">
      <alignment horizontal="right" indent="1"/>
    </xf>
    <xf numFmtId="0" fontId="9" fillId="0" borderId="7" xfId="8" applyBorder="1">
      <alignment horizontal="right" indent="1"/>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8" fontId="9" fillId="0" borderId="3" xfId="9">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6ADB7"/>
      <color rgb="FFF17604"/>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4762500</xdr:colOff>
      <xdr:row>2</xdr:row>
      <xdr:rowOff>63500</xdr:rowOff>
    </xdr:to>
    <xdr:pic>
      <xdr:nvPicPr>
        <xdr:cNvPr id="2" name="Imagen 1">
          <a:extLst>
            <a:ext uri="{FF2B5EF4-FFF2-40B4-BE49-F238E27FC236}">
              <a16:creationId xmlns:a16="http://schemas.microsoft.com/office/drawing/2014/main" id="{395742DD-2612-2809-1BC9-88F9171F1765}"/>
            </a:ext>
          </a:extLst>
        </xdr:cNvPr>
        <xdr:cNvPicPr>
          <a:picLocks noChangeAspect="1"/>
        </xdr:cNvPicPr>
      </xdr:nvPicPr>
      <xdr:blipFill>
        <a:blip xmlns:r="http://schemas.openxmlformats.org/officeDocument/2006/relationships" r:embed="rId1"/>
        <a:stretch>
          <a:fillRect/>
        </a:stretch>
      </xdr:blipFill>
      <xdr:spPr>
        <a:xfrm>
          <a:off x="0" y="0"/>
          <a:ext cx="4762500" cy="850900"/>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6ADB7"/>
  </sheetPr>
  <dimension ref="A1:B16"/>
  <sheetViews>
    <sheetView showGridLines="0" topLeftCell="A5" zoomScaleNormal="100" workbookViewId="0">
      <selection activeCell="A5" sqref="A5"/>
    </sheetView>
  </sheetViews>
  <sheetFormatPr baseColWidth="10" defaultColWidth="9.140625" defaultRowHeight="12.75" x14ac:dyDescent="0.2"/>
  <cols>
    <col min="1" max="1" width="87.140625" style="35" customWidth="1"/>
    <col min="2" max="16384" width="9.140625" style="2"/>
  </cols>
  <sheetData>
    <row r="1" spans="1:2" ht="46.5" customHeight="1" x14ac:dyDescent="0.2"/>
    <row r="2" spans="1:2" s="37" customFormat="1" ht="15.75" x14ac:dyDescent="0.25">
      <c r="A2" s="36"/>
      <c r="B2" s="36"/>
    </row>
    <row r="3" spans="1:2" s="41" customFormat="1" ht="27" customHeight="1" x14ac:dyDescent="0.25">
      <c r="A3" s="69"/>
      <c r="B3" s="42"/>
    </row>
    <row r="4" spans="1:2" s="38" customFormat="1" ht="26.25" x14ac:dyDescent="0.4">
      <c r="A4" s="39" t="s">
        <v>34</v>
      </c>
    </row>
    <row r="5" spans="1:2" ht="74.099999999999994" customHeight="1" x14ac:dyDescent="0.2">
      <c r="A5" s="40" t="s">
        <v>31</v>
      </c>
    </row>
    <row r="6" spans="1:2" ht="26.25" customHeight="1" x14ac:dyDescent="0.2">
      <c r="A6" s="39" t="s">
        <v>32</v>
      </c>
    </row>
    <row r="7" spans="1:2" s="35" customFormat="1" ht="215.25" customHeight="1" x14ac:dyDescent="0.25">
      <c r="A7" s="44" t="s">
        <v>33</v>
      </c>
    </row>
    <row r="8" spans="1:2" s="38" customFormat="1" ht="26.25" x14ac:dyDescent="0.4">
      <c r="A8" s="39"/>
    </row>
    <row r="9" spans="1:2" ht="15" x14ac:dyDescent="0.2">
      <c r="A9" s="40"/>
    </row>
    <row r="10" spans="1:2" s="35" customFormat="1" ht="27.95" customHeight="1" x14ac:dyDescent="0.25">
      <c r="A10" s="43"/>
    </row>
    <row r="11" spans="1:2" s="38" customFormat="1" ht="26.25" x14ac:dyDescent="0.4">
      <c r="A11" s="39"/>
    </row>
    <row r="12" spans="1:2" ht="15" x14ac:dyDescent="0.2">
      <c r="A12" s="40"/>
    </row>
    <row r="13" spans="1:2" s="35" customFormat="1" ht="27.95" customHeight="1" x14ac:dyDescent="0.25">
      <c r="A13" s="43"/>
    </row>
    <row r="14" spans="1:2" s="38" customFormat="1" ht="26.25" x14ac:dyDescent="0.4">
      <c r="A14" s="39"/>
    </row>
    <row r="15" spans="1:2" ht="96.75" customHeight="1" x14ac:dyDescent="0.2">
      <c r="A15" s="40"/>
    </row>
    <row r="16" spans="1:2" ht="15" x14ac:dyDescent="0.2">
      <c r="A16" s="40"/>
    </row>
  </sheetData>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17604"/>
    <pageSetUpPr fitToPage="1"/>
  </sheetPr>
  <dimension ref="A1:BL43"/>
  <sheetViews>
    <sheetView showGridLines="0" tabSelected="1" showRuler="0" zoomScale="70" zoomScaleNormal="70" zoomScalePageLayoutView="70" workbookViewId="0">
      <pane ySplit="6" topLeftCell="A19" activePane="bottomLeft" state="frozen"/>
      <selection pane="bottomLeft" activeCell="T28" sqref="T28"/>
    </sheetView>
  </sheetViews>
  <sheetFormatPr baseColWidth="10" defaultColWidth="9.140625" defaultRowHeight="30" customHeight="1" x14ac:dyDescent="0.25"/>
  <cols>
    <col min="1" max="1" width="2.7109375" style="45" customWidth="1"/>
    <col min="2" max="2" width="36.42578125" customWidth="1"/>
    <col min="3" max="3" width="30.7109375" customWidth="1"/>
    <col min="4" max="4" width="10.7109375" customWidth="1"/>
    <col min="5" max="5" width="10.42578125" style="5" customWidth="1"/>
    <col min="6" max="6" width="10.42578125" customWidth="1"/>
    <col min="7" max="7" width="2.7109375" customWidth="1"/>
    <col min="8" max="8" width="9.42578125" hidden="1" customWidth="1"/>
    <col min="9" max="64" width="3.28515625" customWidth="1"/>
    <col min="69" max="70" width="10.28515625"/>
  </cols>
  <sheetData>
    <row r="1" spans="1:64" ht="30" customHeight="1" x14ac:dyDescent="0.45">
      <c r="A1" s="46" t="s">
        <v>0</v>
      </c>
      <c r="B1" s="49" t="s">
        <v>35</v>
      </c>
      <c r="C1" s="1"/>
      <c r="D1" s="2"/>
      <c r="E1" s="4"/>
      <c r="F1" s="34"/>
      <c r="H1" s="2"/>
      <c r="I1" s="67"/>
    </row>
    <row r="2" spans="1:64" ht="30" customHeight="1" x14ac:dyDescent="0.3">
      <c r="A2" s="45" t="s">
        <v>1</v>
      </c>
      <c r="B2" s="50"/>
      <c r="I2" s="68"/>
    </row>
    <row r="3" spans="1:64" ht="30" customHeight="1" x14ac:dyDescent="0.25">
      <c r="A3" s="45" t="s">
        <v>2</v>
      </c>
      <c r="B3" s="51" t="s">
        <v>36</v>
      </c>
      <c r="C3" s="88" t="s">
        <v>23</v>
      </c>
      <c r="D3" s="89"/>
      <c r="E3" s="93">
        <v>46122</v>
      </c>
      <c r="F3" s="93"/>
    </row>
    <row r="4" spans="1:64" ht="30" customHeight="1" x14ac:dyDescent="0.25">
      <c r="A4" s="46" t="s">
        <v>3</v>
      </c>
      <c r="C4" s="88" t="s">
        <v>24</v>
      </c>
      <c r="D4" s="89"/>
      <c r="E4" s="7">
        <v>4</v>
      </c>
      <c r="I4" s="90">
        <f>I5</f>
        <v>46139</v>
      </c>
      <c r="J4" s="91"/>
      <c r="K4" s="91"/>
      <c r="L4" s="91"/>
      <c r="M4" s="91"/>
      <c r="N4" s="91"/>
      <c r="O4" s="92"/>
      <c r="P4" s="90">
        <f>P5</f>
        <v>46146</v>
      </c>
      <c r="Q4" s="91"/>
      <c r="R4" s="91"/>
      <c r="S4" s="91"/>
      <c r="T4" s="91"/>
      <c r="U4" s="91"/>
      <c r="V4" s="92"/>
      <c r="W4" s="90">
        <f>W5</f>
        <v>46153</v>
      </c>
      <c r="X4" s="91"/>
      <c r="Y4" s="91"/>
      <c r="Z4" s="91"/>
      <c r="AA4" s="91"/>
      <c r="AB4" s="91"/>
      <c r="AC4" s="92"/>
      <c r="AD4" s="90">
        <f>AD5</f>
        <v>46160</v>
      </c>
      <c r="AE4" s="91"/>
      <c r="AF4" s="91"/>
      <c r="AG4" s="91"/>
      <c r="AH4" s="91"/>
      <c r="AI4" s="91"/>
      <c r="AJ4" s="92"/>
      <c r="AK4" s="90">
        <f>AK5</f>
        <v>46167</v>
      </c>
      <c r="AL4" s="91"/>
      <c r="AM4" s="91"/>
      <c r="AN4" s="91"/>
      <c r="AO4" s="91"/>
      <c r="AP4" s="91"/>
      <c r="AQ4" s="92"/>
      <c r="AR4" s="90">
        <f>AR5</f>
        <v>46174</v>
      </c>
      <c r="AS4" s="91"/>
      <c r="AT4" s="91"/>
      <c r="AU4" s="91"/>
      <c r="AV4" s="91"/>
      <c r="AW4" s="91"/>
      <c r="AX4" s="92"/>
      <c r="AY4" s="90">
        <f>AY5</f>
        <v>46181</v>
      </c>
      <c r="AZ4" s="91"/>
      <c r="BA4" s="91"/>
      <c r="BB4" s="91"/>
      <c r="BC4" s="91"/>
      <c r="BD4" s="91"/>
      <c r="BE4" s="92"/>
      <c r="BF4" s="90">
        <f>BF5</f>
        <v>46188</v>
      </c>
      <c r="BG4" s="91"/>
      <c r="BH4" s="91"/>
      <c r="BI4" s="91"/>
      <c r="BJ4" s="91"/>
      <c r="BK4" s="91"/>
      <c r="BL4" s="92"/>
    </row>
    <row r="5" spans="1:64" ht="15" customHeight="1" x14ac:dyDescent="0.25">
      <c r="A5" s="46" t="s">
        <v>4</v>
      </c>
      <c r="B5" s="66"/>
      <c r="C5" s="66"/>
      <c r="D5" s="66"/>
      <c r="E5" s="66"/>
      <c r="F5" s="66"/>
      <c r="G5" s="66"/>
      <c r="I5" s="81">
        <f>Inicio_del_proyecto-WEEKDAY(Inicio_del_proyecto,1)+2+7*(Semana_para_mostrar-1)</f>
        <v>46139</v>
      </c>
      <c r="J5" s="82">
        <f>I5+1</f>
        <v>46140</v>
      </c>
      <c r="K5" s="82">
        <f t="shared" ref="K5:AX5" si="0">J5+1</f>
        <v>46141</v>
      </c>
      <c r="L5" s="82">
        <f t="shared" si="0"/>
        <v>46142</v>
      </c>
      <c r="M5" s="82">
        <f t="shared" si="0"/>
        <v>46143</v>
      </c>
      <c r="N5" s="82">
        <f t="shared" si="0"/>
        <v>46144</v>
      </c>
      <c r="O5" s="83">
        <f t="shared" si="0"/>
        <v>46145</v>
      </c>
      <c r="P5" s="81">
        <f>O5+1</f>
        <v>46146</v>
      </c>
      <c r="Q5" s="82">
        <f>P5+1</f>
        <v>46147</v>
      </c>
      <c r="R5" s="82">
        <f t="shared" si="0"/>
        <v>46148</v>
      </c>
      <c r="S5" s="82">
        <f t="shared" si="0"/>
        <v>46149</v>
      </c>
      <c r="T5" s="82">
        <f t="shared" si="0"/>
        <v>46150</v>
      </c>
      <c r="U5" s="82">
        <f t="shared" si="0"/>
        <v>46151</v>
      </c>
      <c r="V5" s="83">
        <f t="shared" si="0"/>
        <v>46152</v>
      </c>
      <c r="W5" s="81">
        <f>V5+1</f>
        <v>46153</v>
      </c>
      <c r="X5" s="82">
        <f>W5+1</f>
        <v>46154</v>
      </c>
      <c r="Y5" s="82">
        <f t="shared" si="0"/>
        <v>46155</v>
      </c>
      <c r="Z5" s="82">
        <f t="shared" si="0"/>
        <v>46156</v>
      </c>
      <c r="AA5" s="82">
        <f t="shared" si="0"/>
        <v>46157</v>
      </c>
      <c r="AB5" s="82">
        <f t="shared" si="0"/>
        <v>46158</v>
      </c>
      <c r="AC5" s="83">
        <f t="shared" si="0"/>
        <v>46159</v>
      </c>
      <c r="AD5" s="81">
        <f>AC5+1</f>
        <v>46160</v>
      </c>
      <c r="AE5" s="82">
        <f>AD5+1</f>
        <v>46161</v>
      </c>
      <c r="AF5" s="82">
        <f t="shared" si="0"/>
        <v>46162</v>
      </c>
      <c r="AG5" s="82">
        <f t="shared" si="0"/>
        <v>46163</v>
      </c>
      <c r="AH5" s="82">
        <f t="shared" si="0"/>
        <v>46164</v>
      </c>
      <c r="AI5" s="82">
        <f t="shared" si="0"/>
        <v>46165</v>
      </c>
      <c r="AJ5" s="83">
        <f t="shared" si="0"/>
        <v>46166</v>
      </c>
      <c r="AK5" s="81">
        <f>AJ5+1</f>
        <v>46167</v>
      </c>
      <c r="AL5" s="82">
        <f>AK5+1</f>
        <v>46168</v>
      </c>
      <c r="AM5" s="82">
        <f t="shared" si="0"/>
        <v>46169</v>
      </c>
      <c r="AN5" s="82">
        <f t="shared" si="0"/>
        <v>46170</v>
      </c>
      <c r="AO5" s="82">
        <f t="shared" si="0"/>
        <v>46171</v>
      </c>
      <c r="AP5" s="82">
        <f t="shared" si="0"/>
        <v>46172</v>
      </c>
      <c r="AQ5" s="83">
        <f t="shared" si="0"/>
        <v>46173</v>
      </c>
      <c r="AR5" s="81">
        <f>AQ5+1</f>
        <v>46174</v>
      </c>
      <c r="AS5" s="82">
        <f>AR5+1</f>
        <v>46175</v>
      </c>
      <c r="AT5" s="82">
        <f t="shared" si="0"/>
        <v>46176</v>
      </c>
      <c r="AU5" s="82">
        <f t="shared" si="0"/>
        <v>46177</v>
      </c>
      <c r="AV5" s="82">
        <f t="shared" si="0"/>
        <v>46178</v>
      </c>
      <c r="AW5" s="82">
        <f t="shared" si="0"/>
        <v>46179</v>
      </c>
      <c r="AX5" s="83">
        <f t="shared" si="0"/>
        <v>46180</v>
      </c>
      <c r="AY5" s="81">
        <f>AX5+1</f>
        <v>46181</v>
      </c>
      <c r="AZ5" s="82">
        <f>AY5+1</f>
        <v>46182</v>
      </c>
      <c r="BA5" s="82">
        <f t="shared" ref="BA5:BE5" si="1">AZ5+1</f>
        <v>46183</v>
      </c>
      <c r="BB5" s="82">
        <f t="shared" si="1"/>
        <v>46184</v>
      </c>
      <c r="BC5" s="82">
        <f t="shared" si="1"/>
        <v>46185</v>
      </c>
      <c r="BD5" s="82">
        <f t="shared" si="1"/>
        <v>46186</v>
      </c>
      <c r="BE5" s="83">
        <f t="shared" si="1"/>
        <v>46187</v>
      </c>
      <c r="BF5" s="81">
        <f>BE5+1</f>
        <v>46188</v>
      </c>
      <c r="BG5" s="82">
        <f>BF5+1</f>
        <v>46189</v>
      </c>
      <c r="BH5" s="82">
        <f t="shared" ref="BH5:BL5" si="2">BG5+1</f>
        <v>46190</v>
      </c>
      <c r="BI5" s="82">
        <f t="shared" si="2"/>
        <v>46191</v>
      </c>
      <c r="BJ5" s="82">
        <f t="shared" si="2"/>
        <v>46192</v>
      </c>
      <c r="BK5" s="82">
        <f t="shared" si="2"/>
        <v>46193</v>
      </c>
      <c r="BL5" s="83">
        <f t="shared" si="2"/>
        <v>46194</v>
      </c>
    </row>
    <row r="6" spans="1:64" ht="30" customHeight="1" thickBot="1" x14ac:dyDescent="0.3">
      <c r="A6" s="46" t="s">
        <v>5</v>
      </c>
      <c r="B6" s="8" t="s">
        <v>14</v>
      </c>
      <c r="C6" s="9" t="s">
        <v>25</v>
      </c>
      <c r="D6" s="9" t="s">
        <v>26</v>
      </c>
      <c r="E6" s="9" t="s">
        <v>27</v>
      </c>
      <c r="F6" s="9" t="s">
        <v>29</v>
      </c>
      <c r="G6" s="9"/>
      <c r="H6" s="9" t="s">
        <v>30</v>
      </c>
      <c r="I6" s="10" t="str">
        <f t="shared" ref="I6" si="3">LEFT(TEXT(I5,"ddd"),1)</f>
        <v>l</v>
      </c>
      <c r="J6" s="10" t="str">
        <f t="shared" ref="J6:AR6" si="4">LEFT(TEXT(J5,"ddd"),1)</f>
        <v>m</v>
      </c>
      <c r="K6" s="10" t="str">
        <f t="shared" si="4"/>
        <v>m</v>
      </c>
      <c r="L6" s="10" t="str">
        <f t="shared" si="4"/>
        <v>j</v>
      </c>
      <c r="M6" s="10" t="str">
        <f t="shared" si="4"/>
        <v>v</v>
      </c>
      <c r="N6" s="10" t="str">
        <f t="shared" si="4"/>
        <v>s</v>
      </c>
      <c r="O6" s="10" t="str">
        <f t="shared" si="4"/>
        <v>d</v>
      </c>
      <c r="P6" s="10" t="str">
        <f t="shared" si="4"/>
        <v>l</v>
      </c>
      <c r="Q6" s="10" t="str">
        <f t="shared" si="4"/>
        <v>m</v>
      </c>
      <c r="R6" s="10" t="str">
        <f t="shared" si="4"/>
        <v>m</v>
      </c>
      <c r="S6" s="10" t="str">
        <f t="shared" si="4"/>
        <v>j</v>
      </c>
      <c r="T6" s="10" t="str">
        <f t="shared" si="4"/>
        <v>v</v>
      </c>
      <c r="U6" s="10" t="str">
        <f t="shared" si="4"/>
        <v>s</v>
      </c>
      <c r="V6" s="10" t="str">
        <f t="shared" si="4"/>
        <v>d</v>
      </c>
      <c r="W6" s="10" t="str">
        <f t="shared" si="4"/>
        <v>l</v>
      </c>
      <c r="X6" s="10" t="str">
        <f t="shared" si="4"/>
        <v>m</v>
      </c>
      <c r="Y6" s="10" t="str">
        <f t="shared" si="4"/>
        <v>m</v>
      </c>
      <c r="Z6" s="10" t="str">
        <f t="shared" si="4"/>
        <v>j</v>
      </c>
      <c r="AA6" s="10" t="str">
        <f t="shared" si="4"/>
        <v>v</v>
      </c>
      <c r="AB6" s="10" t="str">
        <f t="shared" si="4"/>
        <v>s</v>
      </c>
      <c r="AC6" s="10" t="str">
        <f t="shared" si="4"/>
        <v>d</v>
      </c>
      <c r="AD6" s="10" t="str">
        <f t="shared" si="4"/>
        <v>l</v>
      </c>
      <c r="AE6" s="10" t="str">
        <f t="shared" si="4"/>
        <v>m</v>
      </c>
      <c r="AF6" s="10" t="str">
        <f t="shared" si="4"/>
        <v>m</v>
      </c>
      <c r="AG6" s="10" t="str">
        <f t="shared" si="4"/>
        <v>j</v>
      </c>
      <c r="AH6" s="10" t="str">
        <f t="shared" si="4"/>
        <v>v</v>
      </c>
      <c r="AI6" s="10" t="str">
        <f t="shared" si="4"/>
        <v>s</v>
      </c>
      <c r="AJ6" s="10" t="str">
        <f t="shared" si="4"/>
        <v>d</v>
      </c>
      <c r="AK6" s="10" t="str">
        <f t="shared" si="4"/>
        <v>l</v>
      </c>
      <c r="AL6" s="10" t="str">
        <f t="shared" si="4"/>
        <v>m</v>
      </c>
      <c r="AM6" s="10" t="str">
        <f t="shared" si="4"/>
        <v>m</v>
      </c>
      <c r="AN6" s="10" t="str">
        <f t="shared" si="4"/>
        <v>j</v>
      </c>
      <c r="AO6" s="10" t="str">
        <f t="shared" si="4"/>
        <v>v</v>
      </c>
      <c r="AP6" s="10" t="str">
        <f t="shared" si="4"/>
        <v>s</v>
      </c>
      <c r="AQ6" s="10" t="str">
        <f t="shared" si="4"/>
        <v>d</v>
      </c>
      <c r="AR6" s="10" t="str">
        <f t="shared" si="4"/>
        <v>l</v>
      </c>
      <c r="AS6" s="10" t="str">
        <f t="shared" ref="AS6:BL6" si="5">LEFT(TEXT(AS5,"ddd"),1)</f>
        <v>m</v>
      </c>
      <c r="AT6" s="10" t="str">
        <f t="shared" si="5"/>
        <v>m</v>
      </c>
      <c r="AU6" s="10" t="str">
        <f t="shared" si="5"/>
        <v>j</v>
      </c>
      <c r="AV6" s="10" t="str">
        <f t="shared" si="5"/>
        <v>v</v>
      </c>
      <c r="AW6" s="10" t="str">
        <f t="shared" si="5"/>
        <v>s</v>
      </c>
      <c r="AX6" s="10" t="str">
        <f t="shared" si="5"/>
        <v>d</v>
      </c>
      <c r="AY6" s="10" t="str">
        <f t="shared" si="5"/>
        <v>l</v>
      </c>
      <c r="AZ6" s="10" t="str">
        <f t="shared" si="5"/>
        <v>m</v>
      </c>
      <c r="BA6" s="10" t="str">
        <f t="shared" si="5"/>
        <v>m</v>
      </c>
      <c r="BB6" s="10" t="str">
        <f t="shared" si="5"/>
        <v>j</v>
      </c>
      <c r="BC6" s="10" t="str">
        <f t="shared" si="5"/>
        <v>v</v>
      </c>
      <c r="BD6" s="10" t="str">
        <f t="shared" si="5"/>
        <v>s</v>
      </c>
      <c r="BE6" s="10" t="str">
        <f t="shared" si="5"/>
        <v>d</v>
      </c>
      <c r="BF6" s="10" t="str">
        <f t="shared" si="5"/>
        <v>l</v>
      </c>
      <c r="BG6" s="10" t="str">
        <f t="shared" si="5"/>
        <v>m</v>
      </c>
      <c r="BH6" s="10" t="str">
        <f t="shared" si="5"/>
        <v>m</v>
      </c>
      <c r="BI6" s="10" t="str">
        <f t="shared" si="5"/>
        <v>j</v>
      </c>
      <c r="BJ6" s="10" t="str">
        <f t="shared" si="5"/>
        <v>v</v>
      </c>
      <c r="BK6" s="10" t="str">
        <f t="shared" si="5"/>
        <v>s</v>
      </c>
      <c r="BL6" s="10" t="str">
        <f t="shared" si="5"/>
        <v>d</v>
      </c>
    </row>
    <row r="7" spans="1:64" ht="30" hidden="1" customHeight="1" thickBot="1" x14ac:dyDescent="0.3">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
      <c r="A8" s="46" t="s">
        <v>7</v>
      </c>
      <c r="B8" s="15" t="s">
        <v>37</v>
      </c>
      <c r="C8" s="52"/>
      <c r="D8" s="16"/>
      <c r="E8" s="70"/>
      <c r="F8" s="71"/>
      <c r="G8" s="14"/>
      <c r="H8" s="14" t="str">
        <f t="shared" ref="H8:H40" si="6">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
      <c r="A9" s="46" t="s">
        <v>8</v>
      </c>
      <c r="B9" s="61" t="s">
        <v>39</v>
      </c>
      <c r="C9" s="53" t="s">
        <v>40</v>
      </c>
      <c r="D9" s="17">
        <v>1</v>
      </c>
      <c r="E9" s="84">
        <f>Inicio_del_proyecto</f>
        <v>46122</v>
      </c>
      <c r="F9" s="84">
        <v>46124</v>
      </c>
      <c r="G9" s="14"/>
      <c r="H9" s="14">
        <f t="shared" si="6"/>
        <v>3</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
      <c r="A10" s="46" t="s">
        <v>9</v>
      </c>
      <c r="B10" s="61" t="s">
        <v>38</v>
      </c>
      <c r="C10" s="53" t="s">
        <v>40</v>
      </c>
      <c r="D10" s="17">
        <v>1</v>
      </c>
      <c r="E10" s="84">
        <v>46125</v>
      </c>
      <c r="F10" s="84">
        <v>46126</v>
      </c>
      <c r="G10" s="14"/>
      <c r="H10" s="14">
        <f t="shared" si="6"/>
        <v>2</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
      <c r="A11" s="45"/>
      <c r="B11" s="61" t="s">
        <v>41</v>
      </c>
      <c r="C11" s="53" t="s">
        <v>40</v>
      </c>
      <c r="D11" s="17">
        <v>1</v>
      </c>
      <c r="E11" s="84">
        <v>46127</v>
      </c>
      <c r="F11" s="84">
        <v>46128</v>
      </c>
      <c r="G11" s="14"/>
      <c r="H11" s="14">
        <f t="shared" si="6"/>
        <v>2</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
      <c r="A12" s="45"/>
      <c r="B12" s="61" t="s">
        <v>42</v>
      </c>
      <c r="C12" s="53" t="s">
        <v>43</v>
      </c>
      <c r="D12" s="17">
        <v>1</v>
      </c>
      <c r="E12" s="84">
        <v>46129</v>
      </c>
      <c r="F12" s="84">
        <v>46131</v>
      </c>
      <c r="G12" s="14"/>
      <c r="H12" s="14"/>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
      <c r="A13" s="45"/>
      <c r="B13" s="61" t="s">
        <v>44</v>
      </c>
      <c r="C13" s="53" t="s">
        <v>47</v>
      </c>
      <c r="D13" s="17">
        <v>1</v>
      </c>
      <c r="E13" s="84">
        <v>46131</v>
      </c>
      <c r="F13" s="84">
        <v>46132</v>
      </c>
      <c r="G13" s="14"/>
      <c r="H13" s="14">
        <f t="shared" si="6"/>
        <v>2</v>
      </c>
      <c r="I13" s="31"/>
      <c r="J13" s="31"/>
      <c r="K13" s="31"/>
      <c r="L13" s="31"/>
      <c r="M13" s="31"/>
      <c r="N13" s="31"/>
      <c r="O13" s="31"/>
      <c r="P13" s="31"/>
      <c r="Q13" s="31"/>
      <c r="R13" s="31"/>
      <c r="S13" s="31"/>
      <c r="T13" s="31"/>
      <c r="U13" s="31"/>
      <c r="V13" s="31"/>
      <c r="W13" s="31"/>
      <c r="X13" s="31"/>
      <c r="Y13" s="32"/>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
      <c r="A14" s="45"/>
      <c r="B14" s="61" t="s">
        <v>45</v>
      </c>
      <c r="C14" s="53" t="s">
        <v>46</v>
      </c>
      <c r="D14" s="17">
        <v>1</v>
      </c>
      <c r="E14" s="84">
        <v>46133</v>
      </c>
      <c r="F14" s="84">
        <v>46135</v>
      </c>
      <c r="G14" s="14"/>
      <c r="H14" s="14"/>
      <c r="I14" s="31"/>
      <c r="J14" s="31"/>
      <c r="K14" s="31"/>
      <c r="L14" s="31"/>
      <c r="M14" s="31"/>
      <c r="N14" s="31"/>
      <c r="O14" s="31"/>
      <c r="P14" s="31"/>
      <c r="Q14" s="31"/>
      <c r="R14" s="31"/>
      <c r="S14" s="31"/>
      <c r="T14" s="31"/>
      <c r="U14" s="31"/>
      <c r="V14" s="31"/>
      <c r="W14" s="31"/>
      <c r="X14" s="31"/>
      <c r="Y14" s="32"/>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
      <c r="A15" s="45"/>
      <c r="B15" s="61" t="s">
        <v>48</v>
      </c>
      <c r="C15" s="53" t="s">
        <v>52</v>
      </c>
      <c r="D15" s="17">
        <v>1</v>
      </c>
      <c r="E15" s="84">
        <v>46135</v>
      </c>
      <c r="F15" s="84">
        <v>46138</v>
      </c>
      <c r="G15" s="14"/>
      <c r="H15" s="14">
        <f t="shared" si="6"/>
        <v>4</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
      <c r="A16" s="45"/>
      <c r="B16" s="61" t="s">
        <v>49</v>
      </c>
      <c r="C16" s="53" t="s">
        <v>47</v>
      </c>
      <c r="D16" s="17">
        <v>1</v>
      </c>
      <c r="E16" s="84">
        <v>46137</v>
      </c>
      <c r="F16" s="84">
        <v>46139</v>
      </c>
      <c r="G16" s="14"/>
      <c r="H16" s="14"/>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
      <c r="A17" s="45"/>
      <c r="B17" s="61" t="s">
        <v>50</v>
      </c>
      <c r="C17" s="53" t="s">
        <v>52</v>
      </c>
      <c r="D17" s="17">
        <v>1</v>
      </c>
      <c r="E17" s="84">
        <v>46137</v>
      </c>
      <c r="F17" s="84">
        <v>46139</v>
      </c>
      <c r="G17" s="14"/>
      <c r="H17" s="14"/>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
      <c r="A18" s="45"/>
      <c r="B18" s="61" t="s">
        <v>51</v>
      </c>
      <c r="C18" s="53" t="s">
        <v>43</v>
      </c>
      <c r="D18" s="17">
        <v>1</v>
      </c>
      <c r="E18" s="84">
        <v>46137</v>
      </c>
      <c r="F18" s="84">
        <v>46138</v>
      </c>
      <c r="G18" s="14"/>
      <c r="H18" s="14"/>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
      <c r="A19" s="46" t="s">
        <v>10</v>
      </c>
      <c r="B19" s="18" t="s">
        <v>60</v>
      </c>
      <c r="C19" s="54"/>
      <c r="D19" s="19"/>
      <c r="E19" s="72"/>
      <c r="F19" s="73"/>
      <c r="G19" s="14"/>
      <c r="H19" s="14" t="str">
        <f t="shared" si="6"/>
        <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
      <c r="A20" s="46"/>
      <c r="B20" s="62" t="s">
        <v>53</v>
      </c>
      <c r="C20" s="55" t="s">
        <v>40</v>
      </c>
      <c r="D20" s="20">
        <v>1</v>
      </c>
      <c r="E20" s="85">
        <v>46143</v>
      </c>
      <c r="F20" s="85">
        <v>46145</v>
      </c>
      <c r="G20" s="14"/>
      <c r="H20" s="14">
        <f t="shared" si="6"/>
        <v>3</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
      <c r="A21" s="45"/>
      <c r="B21" s="62" t="s">
        <v>54</v>
      </c>
      <c r="C21" s="55" t="s">
        <v>46</v>
      </c>
      <c r="D21" s="20">
        <v>1</v>
      </c>
      <c r="E21" s="85">
        <f>E20+2</f>
        <v>46145</v>
      </c>
      <c r="F21" s="85">
        <v>46147</v>
      </c>
      <c r="G21" s="14"/>
      <c r="H21" s="14">
        <f t="shared" si="6"/>
        <v>3</v>
      </c>
      <c r="I21" s="31"/>
      <c r="J21" s="31"/>
      <c r="K21" s="31"/>
      <c r="L21" s="31"/>
      <c r="M21" s="31"/>
      <c r="N21" s="31"/>
      <c r="O21" s="31"/>
      <c r="P21" s="31"/>
      <c r="Q21" s="31"/>
      <c r="R21" s="31"/>
      <c r="S21" s="31"/>
      <c r="T21" s="31"/>
      <c r="U21" s="32"/>
      <c r="V21" s="32"/>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
      <c r="A22" s="45"/>
      <c r="B22" s="62" t="s">
        <v>55</v>
      </c>
      <c r="C22" s="55" t="s">
        <v>47</v>
      </c>
      <c r="D22" s="20">
        <v>1</v>
      </c>
      <c r="E22" s="85">
        <v>46148</v>
      </c>
      <c r="F22" s="85">
        <v>46151</v>
      </c>
      <c r="G22" s="14"/>
      <c r="H22" s="14">
        <f t="shared" si="6"/>
        <v>4</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
      <c r="A23" s="45"/>
      <c r="B23" s="62" t="s">
        <v>56</v>
      </c>
      <c r="C23" s="55" t="s">
        <v>43</v>
      </c>
      <c r="D23" s="20">
        <v>1</v>
      </c>
      <c r="E23" s="85">
        <v>46152</v>
      </c>
      <c r="F23" s="85">
        <v>46156</v>
      </c>
      <c r="G23" s="14"/>
      <c r="H23" s="14">
        <f t="shared" si="6"/>
        <v>5</v>
      </c>
      <c r="I23" s="31"/>
      <c r="J23" s="31"/>
      <c r="K23" s="31"/>
      <c r="L23" s="31"/>
      <c r="M23" s="31"/>
      <c r="N23" s="31"/>
      <c r="O23" s="31"/>
      <c r="P23" s="31"/>
      <c r="Q23" s="31"/>
      <c r="R23" s="31"/>
      <c r="S23" s="31"/>
      <c r="T23" s="31"/>
      <c r="U23" s="31"/>
      <c r="V23" s="31"/>
      <c r="W23" s="31"/>
      <c r="X23" s="31"/>
      <c r="Y23" s="32"/>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
      <c r="A24" s="45"/>
      <c r="B24" s="62" t="s">
        <v>57</v>
      </c>
      <c r="C24" s="55" t="s">
        <v>40</v>
      </c>
      <c r="D24" s="20">
        <v>0.9</v>
      </c>
      <c r="E24" s="85">
        <v>46154</v>
      </c>
      <c r="F24" s="85">
        <v>46158</v>
      </c>
      <c r="G24" s="14"/>
      <c r="H24" s="14"/>
      <c r="I24" s="31"/>
      <c r="J24" s="31"/>
      <c r="K24" s="31"/>
      <c r="L24" s="31"/>
      <c r="M24" s="31"/>
      <c r="N24" s="31"/>
      <c r="O24" s="31"/>
      <c r="P24" s="31"/>
      <c r="Q24" s="31"/>
      <c r="R24" s="31"/>
      <c r="S24" s="31"/>
      <c r="T24" s="31"/>
      <c r="U24" s="31"/>
      <c r="V24" s="31"/>
      <c r="W24" s="31"/>
      <c r="X24" s="31"/>
      <c r="Y24" s="32"/>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
      <c r="A25" s="45"/>
      <c r="B25" s="62" t="s">
        <v>58</v>
      </c>
      <c r="C25" s="55" t="s">
        <v>52</v>
      </c>
      <c r="D25" s="20">
        <v>1</v>
      </c>
      <c r="E25" s="85">
        <v>46158</v>
      </c>
      <c r="F25" s="85">
        <v>46163</v>
      </c>
      <c r="G25" s="14"/>
      <c r="H25" s="14">
        <f t="shared" si="6"/>
        <v>6</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
      <c r="A26" s="45"/>
      <c r="B26" s="62" t="s">
        <v>59</v>
      </c>
      <c r="C26" s="55" t="s">
        <v>46</v>
      </c>
      <c r="D26" s="20">
        <v>1</v>
      </c>
      <c r="E26" s="85">
        <v>46164</v>
      </c>
      <c r="F26" s="85">
        <v>46167</v>
      </c>
      <c r="G26" s="14"/>
      <c r="H26" s="14"/>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
      <c r="A27" s="45" t="s">
        <v>11</v>
      </c>
      <c r="B27" s="21" t="s">
        <v>20</v>
      </c>
      <c r="C27" s="56"/>
      <c r="D27" s="22"/>
      <c r="E27" s="74"/>
      <c r="F27" s="75"/>
      <c r="G27" s="14"/>
      <c r="H27" s="14" t="str">
        <f t="shared" si="6"/>
        <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
      <c r="A28" s="45"/>
      <c r="B28" s="63" t="s">
        <v>15</v>
      </c>
      <c r="C28" s="57"/>
      <c r="D28" s="23"/>
      <c r="E28" s="76">
        <f>E9+15</f>
        <v>46137</v>
      </c>
      <c r="F28" s="76">
        <f>E28+5</f>
        <v>46142</v>
      </c>
      <c r="G28" s="14"/>
      <c r="H28" s="14">
        <f t="shared" si="6"/>
        <v>6</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
      <c r="A29" s="45"/>
      <c r="B29" s="63" t="s">
        <v>16</v>
      </c>
      <c r="C29" s="57"/>
      <c r="D29" s="23"/>
      <c r="E29" s="76">
        <f>F28+1</f>
        <v>46143</v>
      </c>
      <c r="F29" s="76">
        <f>E29+4</f>
        <v>46147</v>
      </c>
      <c r="G29" s="14"/>
      <c r="H29" s="14">
        <f t="shared" si="6"/>
        <v>5</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
      <c r="A30" s="45"/>
      <c r="B30" s="63" t="s">
        <v>17</v>
      </c>
      <c r="C30" s="57"/>
      <c r="D30" s="23"/>
      <c r="E30" s="76">
        <f>E29+5</f>
        <v>46148</v>
      </c>
      <c r="F30" s="76">
        <f>E30+5</f>
        <v>46153</v>
      </c>
      <c r="G30" s="14"/>
      <c r="H30" s="14">
        <f t="shared" si="6"/>
        <v>6</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
      <c r="A31" s="45"/>
      <c r="B31" s="63" t="s">
        <v>18</v>
      </c>
      <c r="C31" s="57"/>
      <c r="D31" s="23"/>
      <c r="E31" s="76">
        <f>F30+1</f>
        <v>46154</v>
      </c>
      <c r="F31" s="76">
        <f>E31+4</f>
        <v>46158</v>
      </c>
      <c r="G31" s="14"/>
      <c r="H31" s="14">
        <f t="shared" si="6"/>
        <v>5</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
      <c r="A32" s="45"/>
      <c r="B32" s="63" t="s">
        <v>19</v>
      </c>
      <c r="C32" s="57"/>
      <c r="D32" s="23"/>
      <c r="E32" s="76">
        <f>E30</f>
        <v>46148</v>
      </c>
      <c r="F32" s="76">
        <f>E32+4</f>
        <v>46152</v>
      </c>
      <c r="G32" s="14"/>
      <c r="H32" s="14">
        <f t="shared" si="6"/>
        <v>5</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
      <c r="A33" s="45" t="s">
        <v>11</v>
      </c>
      <c r="B33" s="24" t="s">
        <v>21</v>
      </c>
      <c r="C33" s="58"/>
      <c r="D33" s="25"/>
      <c r="E33" s="77"/>
      <c r="F33" s="78"/>
      <c r="G33" s="14"/>
      <c r="H33" s="14" t="str">
        <f t="shared" si="6"/>
        <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row>
    <row r="34" spans="1:64" s="3" customFormat="1" ht="30" customHeight="1" thickBot="1" x14ac:dyDescent="0.3">
      <c r="A34" s="45"/>
      <c r="B34" s="64" t="s">
        <v>15</v>
      </c>
      <c r="C34" s="59"/>
      <c r="D34" s="26"/>
      <c r="E34" s="86" t="s">
        <v>28</v>
      </c>
      <c r="F34" s="86" t="s">
        <v>28</v>
      </c>
      <c r="G34" s="14"/>
      <c r="H34" s="14" t="e">
        <f t="shared" si="6"/>
        <v>#VALUE!</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row>
    <row r="35" spans="1:64" s="3" customFormat="1" ht="30" customHeight="1" thickBot="1" x14ac:dyDescent="0.3">
      <c r="A35" s="45"/>
      <c r="B35" s="64" t="s">
        <v>16</v>
      </c>
      <c r="C35" s="59"/>
      <c r="D35" s="26"/>
      <c r="E35" s="86" t="s">
        <v>28</v>
      </c>
      <c r="F35" s="86" t="s">
        <v>28</v>
      </c>
      <c r="G35" s="14"/>
      <c r="H35" s="14" t="e">
        <f t="shared" si="6"/>
        <v>#VALUE!</v>
      </c>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row>
    <row r="36" spans="1:64" s="3" customFormat="1" ht="30" customHeight="1" thickBot="1" x14ac:dyDescent="0.3">
      <c r="A36" s="45"/>
      <c r="B36" s="64" t="s">
        <v>17</v>
      </c>
      <c r="C36" s="59"/>
      <c r="D36" s="26"/>
      <c r="E36" s="86" t="s">
        <v>28</v>
      </c>
      <c r="F36" s="86" t="s">
        <v>28</v>
      </c>
      <c r="G36" s="14"/>
      <c r="H36" s="14" t="e">
        <f t="shared" si="6"/>
        <v>#VALUE!</v>
      </c>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row>
    <row r="37" spans="1:64" s="3" customFormat="1" ht="30" customHeight="1" thickBot="1" x14ac:dyDescent="0.3">
      <c r="A37" s="45"/>
      <c r="B37" s="64" t="s">
        <v>18</v>
      </c>
      <c r="C37" s="59"/>
      <c r="D37" s="26"/>
      <c r="E37" s="86" t="s">
        <v>28</v>
      </c>
      <c r="F37" s="86" t="s">
        <v>28</v>
      </c>
      <c r="G37" s="14"/>
      <c r="H37" s="14" t="e">
        <f t="shared" si="6"/>
        <v>#VALUE!</v>
      </c>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row>
    <row r="38" spans="1:64" s="3" customFormat="1" ht="30" customHeight="1" thickBot="1" x14ac:dyDescent="0.3">
      <c r="A38" s="45"/>
      <c r="B38" s="64" t="s">
        <v>19</v>
      </c>
      <c r="C38" s="59"/>
      <c r="D38" s="26"/>
      <c r="E38" s="86" t="s">
        <v>28</v>
      </c>
      <c r="F38" s="86" t="s">
        <v>28</v>
      </c>
      <c r="G38" s="14"/>
      <c r="H38" s="14" t="e">
        <f t="shared" si="6"/>
        <v>#VALUE!</v>
      </c>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row>
    <row r="39" spans="1:64" s="3" customFormat="1" ht="30" customHeight="1" thickBot="1" x14ac:dyDescent="0.3">
      <c r="A39" s="45" t="s">
        <v>12</v>
      </c>
      <c r="B39" s="65"/>
      <c r="C39" s="60"/>
      <c r="D39" s="13"/>
      <c r="E39" s="87"/>
      <c r="F39" s="87"/>
      <c r="G39" s="14"/>
      <c r="H39" s="14" t="str">
        <f t="shared" si="6"/>
        <v/>
      </c>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row>
    <row r="40" spans="1:64" s="3" customFormat="1" ht="30" customHeight="1" thickBot="1" x14ac:dyDescent="0.3">
      <c r="A40" s="46" t="s">
        <v>13</v>
      </c>
      <c r="B40" s="27" t="s">
        <v>22</v>
      </c>
      <c r="C40" s="28"/>
      <c r="D40" s="29"/>
      <c r="E40" s="79"/>
      <c r="F40" s="80"/>
      <c r="G40" s="30"/>
      <c r="H40" s="30" t="str">
        <f t="shared" si="6"/>
        <v/>
      </c>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row>
    <row r="41" spans="1:64" ht="30" customHeight="1" x14ac:dyDescent="0.25">
      <c r="G41" s="6"/>
    </row>
    <row r="42" spans="1:64" ht="30" customHeight="1" x14ac:dyDescent="0.25">
      <c r="C42" s="11"/>
      <c r="F42" s="47"/>
    </row>
    <row r="43" spans="1:64" ht="30" customHeight="1" x14ac:dyDescent="0.25">
      <c r="C43"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40">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0">
    <cfRule type="expression" dxfId="2" priority="33">
      <formula>AND(TODAY()&gt;=I$5,TODAY()&lt;J$5)</formula>
    </cfRule>
  </conditionalFormatting>
  <conditionalFormatting sqref="I7:BL40">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ignoredErrors>
    <ignoredError sqref="F29:F30 E30"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Instrucciones</vt:lpstr>
      <vt:lpstr>Diagrama de Gantt</vt:lpstr>
      <vt:lpstr>Inicio_del_proyecto</vt:lpstr>
      <vt:lpstr>Semana_para_mostrar</vt:lpstr>
      <vt:lpstr>'Diagrama de Gantt'!task_end</vt:lpstr>
      <vt:lpstr>'Diagrama de Gantt'!task_progress</vt:lpstr>
      <vt:lpstr>'Diagrama de Gantt'!task_start</vt:lpstr>
      <vt:lpstr>'Diagrama de Gantt'!Títulos_a_imprimir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2026-06-03T04:19:27Z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